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I:\FL\SmartPLS\Thalla\Project-14\"/>
    </mc:Choice>
  </mc:AlternateContent>
  <xr:revisionPtr revIDLastSave="0" documentId="13_ncr:1_{F02738FB-1C5F-43DC-B896-DE448CC67071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Expert Panel Profile" sheetId="2" r:id="rId1"/>
    <sheet name="Expert Ratings" sheetId="6" r:id="rId2"/>
    <sheet name="Relevance" sheetId="8" r:id="rId3"/>
  </sheets>
  <definedNames>
    <definedName name="_xlnm._FilterDatabase" localSheetId="1" hidden="1">'Expert Ratings'!$B$1:$L$41</definedName>
    <definedName name="_xlnm._FilterDatabase" localSheetId="2" hidden="1">Relevance!$A$1:$B$41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2" i="8"/>
  <c r="K8" i="6"/>
  <c r="K9" i="6"/>
  <c r="K10" i="6"/>
  <c r="K11" i="6"/>
  <c r="K2" i="6"/>
  <c r="K3" i="6"/>
  <c r="K4" i="6"/>
  <c r="K5" i="6"/>
  <c r="K6" i="6"/>
  <c r="K12" i="6"/>
  <c r="K13" i="6"/>
  <c r="K14" i="6"/>
  <c r="K15" i="6"/>
  <c r="K16" i="6"/>
  <c r="K17" i="6"/>
  <c r="K18" i="6"/>
  <c r="K19" i="6"/>
  <c r="K20" i="6"/>
  <c r="K21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22" i="6"/>
  <c r="K23" i="6"/>
  <c r="K24" i="6"/>
  <c r="K25" i="6"/>
  <c r="K26" i="6"/>
  <c r="K7" i="6"/>
</calcChain>
</file>

<file path=xl/sharedStrings.xml><?xml version="1.0" encoding="utf-8"?>
<sst xmlns="http://schemas.openxmlformats.org/spreadsheetml/2006/main" count="135" uniqueCount="125">
  <si>
    <t>Panel ID</t>
  </si>
  <si>
    <t>Expert A</t>
  </si>
  <si>
    <t>Expert B</t>
  </si>
  <si>
    <t>Expert C</t>
  </si>
  <si>
    <t>Expert D</t>
  </si>
  <si>
    <t>Expert E</t>
  </si>
  <si>
    <t>Expert F</t>
  </si>
  <si>
    <t>Expert G</t>
  </si>
  <si>
    <t>Statement</t>
  </si>
  <si>
    <t>Background</t>
  </si>
  <si>
    <t>Role</t>
  </si>
  <si>
    <t>Domain</t>
  </si>
  <si>
    <t>Code</t>
  </si>
  <si>
    <t>OTSE1</t>
  </si>
  <si>
    <t>OTSE2</t>
  </si>
  <si>
    <t>OTSE3</t>
  </si>
  <si>
    <t>OTSE4</t>
  </si>
  <si>
    <t>OTSE5</t>
  </si>
  <si>
    <t>I am confident in engaging students effectively in an online teaching environment.</t>
  </si>
  <si>
    <t>I am confident in selecting appropriate instructional strategies for online teaching.</t>
  </si>
  <si>
    <t>I am confident in managing student participation in online learning environments.</t>
  </si>
  <si>
    <t>I am confident in using digital technologies to facilitate online learning.</t>
  </si>
  <si>
    <t>I am confident in assessing and providing feedback to students through online platforms.</t>
  </si>
  <si>
    <t>Online Teaching Self-Efficacy (OTSE)</t>
  </si>
  <si>
    <t>Score</t>
  </si>
  <si>
    <t>Revised To</t>
  </si>
  <si>
    <t>Experiential Learning (EL), Self-Perceived Graduate Employability (SPE)</t>
  </si>
  <si>
    <t>Technology-Enabled Learning (TEL)</t>
  </si>
  <si>
    <t>Validates digital LMS platform accessibility, mobile learning utility, and active online participation measures adapted from Kampa (2023) and Dixson (2015) in an ODL context.</t>
  </si>
  <si>
    <t>Flexible Learning (FL)</t>
  </si>
  <si>
    <t>Interdisciplinary Learning (IDL)</t>
  </si>
  <si>
    <t>Evaluates schedule/assessment flexibility and multi-disciplinary credit transfer items to ensure alignment with NEP 2020 ODL guidelines and adapted scales (El Galad et al., 2024; Lattuca et al., 2012).</t>
  </si>
  <si>
    <t>Assesses self-directed learning, self-monitoring, and motivation items (Afacan Adanır &amp; Güven, 2023). Verifies whether the Age moderator appropriately captures non-traditional/working adult demographics.</t>
  </si>
  <si>
    <t>Experiential Learning (EL)</t>
  </si>
  <si>
    <t>Checks if practical skill application, real-world problem solving, and reflective learning items (Walker &amp; Rocconi, 2021) are realistically measured within a distance education model.</t>
  </si>
  <si>
    <t>Self-Perceived Graduate Employability (SPE)</t>
  </si>
  <si>
    <t>Validates self-perceived skills, employment market confidence, and job readiness items adapted from Rothwell et al. (2008) for open university graduates.</t>
  </si>
  <si>
    <t>Provides external industry validity to confirm whether the competencies in SPE and practical skills in EL align with employer expectations and labor market needs.</t>
  </si>
  <si>
    <t>Quantitative Psychometrician</t>
  </si>
  <si>
    <t>Evaluates reflective measurement structures, double-barreled item detection, 5-point Likert scale clarity, and overall psychometric integrity of all 35 survey items.</t>
  </si>
  <si>
    <t>Industry Talent Acquisition Executive (Senior HR Director / Corporate Recruiter)</t>
  </si>
  <si>
    <t>Graduate Employability Scholar (University Placement Director / Employability Researcher)</t>
  </si>
  <si>
    <t>Experiential Pedagogy Specialist (Faculty specializing in Applied/Vocational Learning)</t>
  </si>
  <si>
    <t>Learner Autonomy (LA), Age (AGE)</t>
  </si>
  <si>
    <t>Educational Psychologist (Adult Learning &amp; Self-Regulation Researcher)</t>
  </si>
  <si>
    <t>ODL &amp; Higher Education Policy Expert (Specialist in Distance Education &amp; NEP 2020)</t>
  </si>
  <si>
    <t>Flexible Learning (FL), Interdisciplinary Learning (IDL)</t>
  </si>
  <si>
    <t>All Constructs</t>
  </si>
  <si>
    <t>Educational Technology Specialist (Professor in EdTech / Digital Learning)</t>
  </si>
  <si>
    <t>Technology-Enabled Learning (TEL), Online Student Engagement (OSE)</t>
  </si>
  <si>
    <t>TEL1</t>
  </si>
  <si>
    <t>My ODL programme provides adequate digital learning resources.</t>
  </si>
  <si>
    <t>TEL2</t>
  </si>
  <si>
    <t>I can easily access my institution's online learning platform.</t>
  </si>
  <si>
    <t>TEL3</t>
  </si>
  <si>
    <t>Digital course materials are readily accessible to me.</t>
  </si>
  <si>
    <t>TEL4</t>
  </si>
  <si>
    <t>Mobile and digital technologies are useful for my learning.</t>
  </si>
  <si>
    <t>TEL5</t>
  </si>
  <si>
    <t>Technology-enabled facilities support my learning effectively.</t>
  </si>
  <si>
    <t>FL1</t>
  </si>
  <si>
    <t>I can manage my study schedule according to my personal circumstances.</t>
  </si>
  <si>
    <t>FL2</t>
  </si>
  <si>
    <t>I have flexibility in when I access learning materials.</t>
  </si>
  <si>
    <t>FL3</t>
  </si>
  <si>
    <t>I have flexibility regarding where I undertake my studies.</t>
  </si>
  <si>
    <t>FL4</t>
  </si>
  <si>
    <t>My programme accommodates learners with different personal commitments.</t>
  </si>
  <si>
    <t>FL5</t>
  </si>
  <si>
    <t>My programme provides flexibility in assessment arrangements.</t>
  </si>
  <si>
    <t>IDL1</t>
  </si>
  <si>
    <t>My programme exposes me to knowledge from different disciplines.</t>
  </si>
  <si>
    <t>IDL2</t>
  </si>
  <si>
    <t>I can connect ideas from different academic fields.</t>
  </si>
  <si>
    <t>IDL3</t>
  </si>
  <si>
    <t>I can apply perspectives from different disciplines when solving problems.</t>
  </si>
  <si>
    <t>IDL4</t>
  </si>
  <si>
    <t>Interdisciplinary learning helps me understand complex issues.</t>
  </si>
  <si>
    <t>IDL5</t>
  </si>
  <si>
    <t>My studies enable me to integrate knowledge across subject areas.</t>
  </si>
  <si>
    <t>EL1</t>
  </si>
  <si>
    <t>My programme provides opportunities to apply theoretical knowledge practically.</t>
  </si>
  <si>
    <t>EL2</t>
  </si>
  <si>
    <t>I participate in learning activities related to real-world situations.</t>
  </si>
  <si>
    <t>EL3</t>
  </si>
  <si>
    <t>My learning activities develop practical or professional skills.</t>
  </si>
  <si>
    <t>EL4</t>
  </si>
  <si>
    <t>I reflect on what I learn and how it can be applied.</t>
  </si>
  <si>
    <t>EL5</t>
  </si>
  <si>
    <t>My studies involve solving practical or real-world problems.</t>
  </si>
  <si>
    <t xml:space="preserve">Learner Autonomy (LA) </t>
  </si>
  <si>
    <t>LA1</t>
  </si>
  <si>
    <t>I take responsibility for planning my learning activities.</t>
  </si>
  <si>
    <t>LA2</t>
  </si>
  <si>
    <t>I can manage my studies without continuous supervision.</t>
  </si>
  <si>
    <t>LA3</t>
  </si>
  <si>
    <t>I monitor my own academic progress.</t>
  </si>
  <si>
    <t>LA4</t>
  </si>
  <si>
    <t>I reflect on my strengths and weaknesses as a learner.</t>
  </si>
  <si>
    <t>LA5</t>
  </si>
  <si>
    <t>I remain motivated to continue learning independently.</t>
  </si>
  <si>
    <t xml:space="preserve">Online Student Engagement (OSE) </t>
  </si>
  <si>
    <t>OSE1</t>
  </si>
  <si>
    <t>I actively participate in online learning activities.</t>
  </si>
  <si>
    <t>OSE2</t>
  </si>
  <si>
    <t>I regularly engage with online course materials.</t>
  </si>
  <si>
    <t>OSE3</t>
  </si>
  <si>
    <t>I actively communicate with instructors through online platforms.</t>
  </si>
  <si>
    <t>OSE4</t>
  </si>
  <si>
    <t>I participate in online discussions and collaborative activities.</t>
  </si>
  <si>
    <t>OSE5</t>
  </si>
  <si>
    <t>I consistently complete my online learning tasks.</t>
  </si>
  <si>
    <t>SPE1</t>
  </si>
  <si>
    <t>My education has prepared me for employment.</t>
  </si>
  <si>
    <t>SPE2</t>
  </si>
  <si>
    <t>I possess competencies valued by employers.</t>
  </si>
  <si>
    <t>SPE3</t>
  </si>
  <si>
    <t>I am confident about obtaining suitable employment after completing my programme.</t>
  </si>
  <si>
    <t>SPE4</t>
  </si>
  <si>
    <t>I understand employment opportunities related to my field of study.</t>
  </si>
  <si>
    <t>SPE5</t>
  </si>
  <si>
    <t>I believe I can compete effectively for suitable employment.</t>
  </si>
  <si>
    <t>Relevant</t>
  </si>
  <si>
    <t>ID</t>
  </si>
  <si>
    <t>What I learnt, I applied.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</si>
</sst>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"/>
  </numFmts>
  <fonts count="6" x14ac:knownFonts="1">
    <font>
      <sz val="11"/>
      <color theme="1"/>
      <name val="Calibri"/>
      <family val="2"/>
      <charset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F1115"/>
      <name val="Inter"/>
      <family val="2"/>
    </font>
    <font>
      <sz val="10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175" fontId="5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zoomScaleNormal="100" workbookViewId="0">
      <pane ySplit="1" topLeftCell="A2" activePane="bottomLeft" state="frozen"/>
      <selection pane="bottomLeft" activeCell="E4" sqref="E4"/>
    </sheetView>
  </sheetViews>
  <sheetFormatPr defaultColWidth="57.85546875" defaultRowHeight="12.75" x14ac:dyDescent="0.2"/>
  <cols>
    <col min="1" max="1" width="7.42578125" style="3" bestFit="1" customWidth="1"/>
    <col min="2" max="2" width="41" style="3" customWidth="1"/>
    <col min="3" max="3" width="37.140625" style="3" customWidth="1"/>
    <col min="4" max="4" width="47.28515625" style="3" customWidth="1"/>
    <col min="5" max="16384" width="57.85546875" style="3"/>
  </cols>
  <sheetData>
    <row r="1" spans="1:4" x14ac:dyDescent="0.2">
      <c r="A1" s="5" t="s">
        <v>0</v>
      </c>
      <c r="B1" s="5" t="s">
        <v>9</v>
      </c>
      <c r="C1" s="5" t="s">
        <v>11</v>
      </c>
      <c r="D1" s="5" t="s">
        <v>10</v>
      </c>
    </row>
    <row r="2" spans="1:4" ht="51" x14ac:dyDescent="0.2">
      <c r="A2" s="6" t="s">
        <v>1</v>
      </c>
      <c r="B2" s="11" t="s">
        <v>48</v>
      </c>
      <c r="C2" s="7" t="s">
        <v>49</v>
      </c>
      <c r="D2" s="12" t="s">
        <v>28</v>
      </c>
    </row>
    <row r="3" spans="1:4" ht="51" x14ac:dyDescent="0.2">
      <c r="A3" s="6" t="s">
        <v>2</v>
      </c>
      <c r="B3" s="11" t="s">
        <v>45</v>
      </c>
      <c r="C3" s="7" t="s">
        <v>46</v>
      </c>
      <c r="D3" s="12" t="s">
        <v>31</v>
      </c>
    </row>
    <row r="4" spans="1:4" ht="51" x14ac:dyDescent="0.2">
      <c r="A4" s="6" t="s">
        <v>3</v>
      </c>
      <c r="B4" s="11" t="s">
        <v>44</v>
      </c>
      <c r="C4" s="7" t="s">
        <v>43</v>
      </c>
      <c r="D4" s="12" t="s">
        <v>32</v>
      </c>
    </row>
    <row r="5" spans="1:4" ht="51" x14ac:dyDescent="0.2">
      <c r="A5" s="6" t="s">
        <v>4</v>
      </c>
      <c r="B5" s="11" t="s">
        <v>42</v>
      </c>
      <c r="C5" s="12" t="s">
        <v>33</v>
      </c>
      <c r="D5" s="12" t="s">
        <v>34</v>
      </c>
    </row>
    <row r="6" spans="1:4" ht="38.25" x14ac:dyDescent="0.2">
      <c r="A6" s="6" t="s">
        <v>5</v>
      </c>
      <c r="B6" s="11" t="s">
        <v>41</v>
      </c>
      <c r="C6" s="12" t="s">
        <v>35</v>
      </c>
      <c r="D6" s="12" t="s">
        <v>36</v>
      </c>
    </row>
    <row r="7" spans="1:4" ht="38.25" x14ac:dyDescent="0.2">
      <c r="A7" s="6" t="s">
        <v>6</v>
      </c>
      <c r="B7" s="11" t="s">
        <v>40</v>
      </c>
      <c r="C7" s="7" t="s">
        <v>26</v>
      </c>
      <c r="D7" s="12" t="s">
        <v>37</v>
      </c>
    </row>
    <row r="8" spans="1:4" ht="38.25" x14ac:dyDescent="0.2">
      <c r="A8" s="6" t="s">
        <v>7</v>
      </c>
      <c r="B8" s="11" t="s">
        <v>38</v>
      </c>
      <c r="C8" s="12" t="s">
        <v>47</v>
      </c>
      <c r="D8" s="12" t="s">
        <v>39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95F3-D6E2-4D69-90F2-61CA1BFCF888}">
  <dimension ref="A1:L41"/>
  <sheetViews>
    <sheetView showGridLines="0" tabSelected="1" zoomScale="70" zoomScaleNormal="70" workbookViewId="0">
      <selection activeCell="C17" sqref="C17"/>
    </sheetView>
  </sheetViews>
  <sheetFormatPr defaultColWidth="18.42578125" defaultRowHeight="12.75" x14ac:dyDescent="0.2"/>
  <cols>
    <col min="1" max="1" width="14.42578125" style="3" customWidth="1"/>
    <col min="2" max="2" width="7.85546875" style="3" bestFit="1" customWidth="1"/>
    <col min="3" max="3" width="78.5703125" style="3" bestFit="1" customWidth="1"/>
    <col min="4" max="7" width="10.5703125" style="3" bestFit="1" customWidth="1"/>
    <col min="8" max="9" width="10.28515625" style="3" bestFit="1" customWidth="1"/>
    <col min="10" max="10" width="17.140625" style="3" bestFit="1" customWidth="1"/>
    <col min="11" max="11" width="9.7109375" style="3" bestFit="1" customWidth="1"/>
    <col min="12" max="12" width="42.5703125" style="3" bestFit="1" customWidth="1"/>
    <col min="13" max="16384" width="18.42578125" style="3"/>
  </cols>
  <sheetData>
    <row r="1" spans="1:12" x14ac:dyDescent="0.2">
      <c r="A1" s="1" t="s">
        <v>11</v>
      </c>
      <c r="B1" s="1" t="s">
        <v>12</v>
      </c>
      <c r="C1" s="1" t="s">
        <v>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9" t="s">
        <v>24</v>
      </c>
      <c r="L1" s="9" t="s">
        <v>25</v>
      </c>
    </row>
    <row r="2" spans="1:12" x14ac:dyDescent="0.2">
      <c r="A2" s="10" t="s">
        <v>27</v>
      </c>
      <c r="B2" s="12" t="s">
        <v>50</v>
      </c>
      <c r="C2" s="12" t="s">
        <v>51</v>
      </c>
      <c r="D2" s="4">
        <v>1</v>
      </c>
      <c r="E2" s="4">
        <v>3</v>
      </c>
      <c r="F2" s="4">
        <v>3</v>
      </c>
      <c r="G2" s="4">
        <v>3</v>
      </c>
      <c r="H2" s="4">
        <v>3</v>
      </c>
      <c r="I2" s="4">
        <v>4</v>
      </c>
      <c r="J2" s="4">
        <v>3</v>
      </c>
      <c r="K2" s="8">
        <f>SUM(D2:J2)</f>
        <v>20</v>
      </c>
      <c r="L2" s="8"/>
    </row>
    <row r="3" spans="1:12" x14ac:dyDescent="0.2">
      <c r="A3" s="10"/>
      <c r="B3" s="12" t="s">
        <v>52</v>
      </c>
      <c r="C3" s="12" t="s">
        <v>53</v>
      </c>
      <c r="D3" s="4">
        <v>3</v>
      </c>
      <c r="E3" s="4">
        <v>4</v>
      </c>
      <c r="F3" s="4">
        <v>3</v>
      </c>
      <c r="G3" s="4">
        <v>2</v>
      </c>
      <c r="H3" s="4">
        <v>4</v>
      </c>
      <c r="I3" s="4">
        <v>3</v>
      </c>
      <c r="J3" s="4">
        <v>4</v>
      </c>
      <c r="K3" s="8">
        <f>SUM(D3:J3)</f>
        <v>23</v>
      </c>
      <c r="L3" s="8"/>
    </row>
    <row r="4" spans="1:12" x14ac:dyDescent="0.2">
      <c r="A4" s="10"/>
      <c r="B4" s="12" t="s">
        <v>54</v>
      </c>
      <c r="C4" s="12" t="s">
        <v>55</v>
      </c>
      <c r="D4" s="4">
        <v>4</v>
      </c>
      <c r="E4" s="4">
        <v>3</v>
      </c>
      <c r="F4" s="4">
        <v>3</v>
      </c>
      <c r="G4" s="4">
        <v>4</v>
      </c>
      <c r="H4" s="4">
        <v>3</v>
      </c>
      <c r="I4" s="4">
        <v>3</v>
      </c>
      <c r="J4" s="4">
        <v>2</v>
      </c>
      <c r="K4" s="8">
        <f>SUM(D4:J4)</f>
        <v>22</v>
      </c>
      <c r="L4" s="12"/>
    </row>
    <row r="5" spans="1:12" x14ac:dyDescent="0.2">
      <c r="A5" s="10"/>
      <c r="B5" s="12" t="s">
        <v>56</v>
      </c>
      <c r="C5" s="12" t="s">
        <v>57</v>
      </c>
      <c r="D5" s="4">
        <v>1</v>
      </c>
      <c r="E5" s="4">
        <v>3</v>
      </c>
      <c r="F5" s="4">
        <v>3</v>
      </c>
      <c r="G5" s="4">
        <v>3</v>
      </c>
      <c r="H5" s="4">
        <v>3</v>
      </c>
      <c r="I5" s="4">
        <v>4</v>
      </c>
      <c r="J5" s="4">
        <v>3</v>
      </c>
      <c r="K5" s="8">
        <f>SUM(D5:J5)</f>
        <v>20</v>
      </c>
      <c r="L5" s="8"/>
    </row>
    <row r="6" spans="1:12" x14ac:dyDescent="0.2">
      <c r="A6" s="10"/>
      <c r="B6" s="12" t="s">
        <v>58</v>
      </c>
      <c r="C6" s="12" t="s">
        <v>59</v>
      </c>
      <c r="D6" s="4">
        <v>3</v>
      </c>
      <c r="E6" s="4">
        <v>3</v>
      </c>
      <c r="F6" s="4">
        <v>3</v>
      </c>
      <c r="G6" s="4">
        <v>2</v>
      </c>
      <c r="H6" s="4">
        <v>3</v>
      </c>
      <c r="I6" s="4">
        <v>3</v>
      </c>
      <c r="J6" s="4">
        <v>3</v>
      </c>
      <c r="K6" s="8">
        <f>SUM(D6:J6)</f>
        <v>20</v>
      </c>
      <c r="L6" s="8"/>
    </row>
    <row r="7" spans="1:12" x14ac:dyDescent="0.2">
      <c r="A7" s="10" t="s">
        <v>29</v>
      </c>
      <c r="B7" s="12" t="s">
        <v>60</v>
      </c>
      <c r="C7" s="12" t="s">
        <v>61</v>
      </c>
      <c r="D7" s="4">
        <v>3</v>
      </c>
      <c r="E7" s="4">
        <v>3</v>
      </c>
      <c r="F7" s="4">
        <v>3</v>
      </c>
      <c r="G7" s="4">
        <v>2</v>
      </c>
      <c r="H7" s="4">
        <v>3</v>
      </c>
      <c r="I7" s="4">
        <v>3</v>
      </c>
      <c r="J7" s="4">
        <v>4</v>
      </c>
      <c r="K7" s="8">
        <f t="shared" ref="K7:K41" si="0">SUM(D7:J7)</f>
        <v>21</v>
      </c>
      <c r="L7" s="8"/>
    </row>
    <row r="8" spans="1:12" x14ac:dyDescent="0.2">
      <c r="A8" s="10"/>
      <c r="B8" s="12" t="s">
        <v>62</v>
      </c>
      <c r="C8" s="12" t="s">
        <v>63</v>
      </c>
      <c r="D8" s="4">
        <v>4</v>
      </c>
      <c r="E8" s="4">
        <v>3</v>
      </c>
      <c r="F8" s="4">
        <v>3</v>
      </c>
      <c r="G8" s="4">
        <v>3</v>
      </c>
      <c r="H8" s="4">
        <v>3</v>
      </c>
      <c r="I8" s="4">
        <v>4</v>
      </c>
      <c r="J8" s="4">
        <v>3</v>
      </c>
      <c r="K8" s="8">
        <f t="shared" si="0"/>
        <v>23</v>
      </c>
      <c r="L8" s="8"/>
    </row>
    <row r="9" spans="1:12" x14ac:dyDescent="0.2">
      <c r="A9" s="10"/>
      <c r="B9" s="12" t="s">
        <v>64</v>
      </c>
      <c r="C9" s="12" t="s">
        <v>65</v>
      </c>
      <c r="D9" s="4">
        <v>3</v>
      </c>
      <c r="E9" s="4">
        <v>4</v>
      </c>
      <c r="F9" s="4">
        <v>3</v>
      </c>
      <c r="G9" s="4">
        <v>3</v>
      </c>
      <c r="H9" s="4">
        <v>3</v>
      </c>
      <c r="I9" s="4">
        <v>3</v>
      </c>
      <c r="J9" s="4">
        <v>3</v>
      </c>
      <c r="K9" s="8">
        <f t="shared" si="0"/>
        <v>22</v>
      </c>
      <c r="L9" s="8"/>
    </row>
    <row r="10" spans="1:12" x14ac:dyDescent="0.2">
      <c r="A10" s="10"/>
      <c r="B10" s="12" t="s">
        <v>66</v>
      </c>
      <c r="C10" s="12" t="s">
        <v>67</v>
      </c>
      <c r="D10" s="4">
        <v>2</v>
      </c>
      <c r="E10" s="4">
        <v>3</v>
      </c>
      <c r="F10" s="4">
        <v>3</v>
      </c>
      <c r="G10" s="4">
        <v>3</v>
      </c>
      <c r="H10" s="4">
        <v>4</v>
      </c>
      <c r="I10" s="4">
        <v>3</v>
      </c>
      <c r="J10" s="4">
        <v>3</v>
      </c>
      <c r="K10" s="8">
        <f t="shared" si="0"/>
        <v>21</v>
      </c>
      <c r="L10" s="8"/>
    </row>
    <row r="11" spans="1:12" x14ac:dyDescent="0.2">
      <c r="A11" s="10"/>
      <c r="B11" s="12" t="s">
        <v>68</v>
      </c>
      <c r="C11" s="12" t="s">
        <v>69</v>
      </c>
      <c r="D11" s="4">
        <v>4</v>
      </c>
      <c r="E11" s="4">
        <v>3</v>
      </c>
      <c r="F11" s="4">
        <v>4</v>
      </c>
      <c r="G11" s="4">
        <v>3</v>
      </c>
      <c r="H11" s="4">
        <v>3</v>
      </c>
      <c r="I11" s="4">
        <v>3</v>
      </c>
      <c r="J11" s="4">
        <v>3</v>
      </c>
      <c r="K11" s="8">
        <f t="shared" si="0"/>
        <v>23</v>
      </c>
      <c r="L11" s="8"/>
    </row>
    <row r="12" spans="1:12" x14ac:dyDescent="0.2">
      <c r="A12" s="10" t="s">
        <v>30</v>
      </c>
      <c r="B12" s="12" t="s">
        <v>70</v>
      </c>
      <c r="C12" s="12" t="s">
        <v>71</v>
      </c>
      <c r="D12" s="4">
        <v>3</v>
      </c>
      <c r="E12" s="4">
        <v>3</v>
      </c>
      <c r="F12" s="4">
        <v>3</v>
      </c>
      <c r="G12" s="4">
        <v>3</v>
      </c>
      <c r="H12" s="4">
        <v>4</v>
      </c>
      <c r="I12" s="4">
        <v>3</v>
      </c>
      <c r="J12" s="4">
        <v>3</v>
      </c>
      <c r="K12" s="8">
        <f t="shared" si="0"/>
        <v>22</v>
      </c>
      <c r="L12" s="12"/>
    </row>
    <row r="13" spans="1:12" x14ac:dyDescent="0.2">
      <c r="A13" s="10"/>
      <c r="B13" s="12" t="s">
        <v>72</v>
      </c>
      <c r="C13" s="12" t="s">
        <v>73</v>
      </c>
      <c r="D13" s="4">
        <v>3</v>
      </c>
      <c r="E13" s="4">
        <v>3</v>
      </c>
      <c r="F13" s="4">
        <v>4</v>
      </c>
      <c r="G13" s="4">
        <v>3</v>
      </c>
      <c r="H13" s="4">
        <v>3</v>
      </c>
      <c r="I13" s="4">
        <v>3</v>
      </c>
      <c r="J13" s="4">
        <v>3</v>
      </c>
      <c r="K13" s="8">
        <f t="shared" si="0"/>
        <v>22</v>
      </c>
      <c r="L13" s="8"/>
    </row>
    <row r="14" spans="1:12" x14ac:dyDescent="0.2">
      <c r="A14" s="10"/>
      <c r="B14" s="12" t="s">
        <v>74</v>
      </c>
      <c r="C14" s="12" t="s">
        <v>75</v>
      </c>
      <c r="D14" s="4">
        <v>4</v>
      </c>
      <c r="E14" s="4">
        <v>3</v>
      </c>
      <c r="F14" s="4">
        <v>3</v>
      </c>
      <c r="G14" s="4">
        <v>3</v>
      </c>
      <c r="H14" s="4">
        <v>3</v>
      </c>
      <c r="I14" s="4">
        <v>3</v>
      </c>
      <c r="J14" s="4">
        <v>3</v>
      </c>
      <c r="K14" s="8">
        <f t="shared" si="0"/>
        <v>22</v>
      </c>
      <c r="L14" s="8"/>
    </row>
    <row r="15" spans="1:12" x14ac:dyDescent="0.2">
      <c r="A15" s="10"/>
      <c r="B15" s="12" t="s">
        <v>76</v>
      </c>
      <c r="C15" s="12" t="s">
        <v>77</v>
      </c>
      <c r="D15" s="4">
        <v>3</v>
      </c>
      <c r="E15" s="4">
        <v>3</v>
      </c>
      <c r="F15" s="4">
        <v>3</v>
      </c>
      <c r="G15" s="4">
        <v>4</v>
      </c>
      <c r="H15" s="4">
        <v>3</v>
      </c>
      <c r="I15" s="4">
        <v>3</v>
      </c>
      <c r="J15" s="4">
        <v>3</v>
      </c>
      <c r="K15" s="8">
        <f t="shared" si="0"/>
        <v>22</v>
      </c>
      <c r="L15" s="8"/>
    </row>
    <row r="16" spans="1:12" x14ac:dyDescent="0.2">
      <c r="A16" s="10"/>
      <c r="B16" s="12" t="s">
        <v>78</v>
      </c>
      <c r="C16" s="12" t="s">
        <v>79</v>
      </c>
      <c r="D16" s="4">
        <v>3</v>
      </c>
      <c r="E16" s="4">
        <v>3</v>
      </c>
      <c r="F16" s="4">
        <v>3</v>
      </c>
      <c r="G16" s="4">
        <v>3</v>
      </c>
      <c r="H16" s="4">
        <v>4</v>
      </c>
      <c r="I16" s="4">
        <v>3</v>
      </c>
      <c r="J16" s="4">
        <v>3</v>
      </c>
      <c r="K16" s="8">
        <f t="shared" si="0"/>
        <v>22</v>
      </c>
      <c r="L16" s="8"/>
    </row>
    <row r="17" spans="1:12" x14ac:dyDescent="0.2">
      <c r="A17" s="10" t="s">
        <v>23</v>
      </c>
      <c r="B17" s="12" t="s">
        <v>13</v>
      </c>
      <c r="C17" s="12" t="s">
        <v>18</v>
      </c>
      <c r="D17" s="4">
        <v>3</v>
      </c>
      <c r="E17" s="4">
        <v>3</v>
      </c>
      <c r="F17" s="4">
        <v>3</v>
      </c>
      <c r="G17" s="4">
        <v>3</v>
      </c>
      <c r="H17" s="4">
        <v>3</v>
      </c>
      <c r="I17" s="4">
        <v>4</v>
      </c>
      <c r="J17" s="4">
        <v>3</v>
      </c>
      <c r="K17" s="8">
        <f t="shared" si="0"/>
        <v>22</v>
      </c>
      <c r="L17" s="8"/>
    </row>
    <row r="18" spans="1:12" x14ac:dyDescent="0.2">
      <c r="A18" s="10"/>
      <c r="B18" s="12" t="s">
        <v>14</v>
      </c>
      <c r="C18" s="12" t="s">
        <v>19</v>
      </c>
      <c r="D18" s="4">
        <v>3</v>
      </c>
      <c r="E18" s="4">
        <v>1</v>
      </c>
      <c r="F18" s="4">
        <v>3</v>
      </c>
      <c r="G18" s="4">
        <v>3</v>
      </c>
      <c r="H18" s="4">
        <v>3</v>
      </c>
      <c r="I18" s="4">
        <v>3</v>
      </c>
      <c r="J18" s="4">
        <v>4</v>
      </c>
      <c r="K18" s="8">
        <f t="shared" si="0"/>
        <v>20</v>
      </c>
      <c r="L18" s="8"/>
    </row>
    <row r="19" spans="1:12" x14ac:dyDescent="0.2">
      <c r="A19" s="10"/>
      <c r="B19" s="12" t="s">
        <v>15</v>
      </c>
      <c r="C19" s="12" t="s">
        <v>20</v>
      </c>
      <c r="D19" s="4">
        <v>3</v>
      </c>
      <c r="E19" s="4">
        <v>3</v>
      </c>
      <c r="F19" s="4">
        <v>3</v>
      </c>
      <c r="G19" s="4">
        <v>3</v>
      </c>
      <c r="H19" s="4">
        <v>3</v>
      </c>
      <c r="I19" s="4">
        <v>3</v>
      </c>
      <c r="J19" s="4">
        <v>3</v>
      </c>
      <c r="K19" s="8">
        <f t="shared" si="0"/>
        <v>21</v>
      </c>
      <c r="L19" s="8"/>
    </row>
    <row r="20" spans="1:12" x14ac:dyDescent="0.2">
      <c r="A20" s="10"/>
      <c r="B20" s="12" t="s">
        <v>16</v>
      </c>
      <c r="C20" s="12" t="s">
        <v>21</v>
      </c>
      <c r="D20" s="4">
        <v>3</v>
      </c>
      <c r="E20" s="4">
        <v>2</v>
      </c>
      <c r="F20" s="4">
        <v>3</v>
      </c>
      <c r="G20" s="4">
        <v>3</v>
      </c>
      <c r="H20" s="4">
        <v>3</v>
      </c>
      <c r="I20" s="4">
        <v>3</v>
      </c>
      <c r="J20" s="4">
        <v>3</v>
      </c>
      <c r="K20" s="8">
        <f t="shared" si="0"/>
        <v>20</v>
      </c>
      <c r="L20" s="8"/>
    </row>
    <row r="21" spans="1:12" x14ac:dyDescent="0.2">
      <c r="A21" s="10"/>
      <c r="B21" s="12" t="s">
        <v>17</v>
      </c>
      <c r="C21" s="12" t="s">
        <v>22</v>
      </c>
      <c r="D21" s="4">
        <v>4</v>
      </c>
      <c r="E21" s="4">
        <v>3</v>
      </c>
      <c r="F21" s="4">
        <v>3</v>
      </c>
      <c r="G21" s="4">
        <v>3</v>
      </c>
      <c r="H21" s="4">
        <v>3</v>
      </c>
      <c r="I21" s="4">
        <v>3</v>
      </c>
      <c r="J21" s="4">
        <v>4</v>
      </c>
      <c r="K21" s="8">
        <f t="shared" si="0"/>
        <v>23</v>
      </c>
      <c r="L21" s="8"/>
    </row>
    <row r="22" spans="1:12" x14ac:dyDescent="0.2">
      <c r="A22" s="10" t="s">
        <v>33</v>
      </c>
      <c r="B22" s="12" t="s">
        <v>80</v>
      </c>
      <c r="C22" s="12" t="s">
        <v>81</v>
      </c>
      <c r="D22" s="4">
        <v>4</v>
      </c>
      <c r="E22" s="4">
        <v>3</v>
      </c>
      <c r="F22" s="4">
        <v>3</v>
      </c>
      <c r="G22" s="4">
        <v>3</v>
      </c>
      <c r="H22" s="4">
        <v>3</v>
      </c>
      <c r="I22" s="4">
        <v>3</v>
      </c>
      <c r="J22" s="4">
        <v>3</v>
      </c>
      <c r="K22" s="8">
        <f>SUM(D22:J22)</f>
        <v>22</v>
      </c>
      <c r="L22" s="8"/>
    </row>
    <row r="23" spans="1:12" x14ac:dyDescent="0.2">
      <c r="A23" s="10"/>
      <c r="B23" s="12" t="s">
        <v>82</v>
      </c>
      <c r="C23" s="12" t="s">
        <v>83</v>
      </c>
      <c r="D23" s="4">
        <v>3</v>
      </c>
      <c r="E23" s="4">
        <v>4</v>
      </c>
      <c r="F23" s="4">
        <v>3</v>
      </c>
      <c r="G23" s="4">
        <v>3</v>
      </c>
      <c r="H23" s="4">
        <v>2</v>
      </c>
      <c r="I23" s="4">
        <v>3</v>
      </c>
      <c r="J23" s="4">
        <v>3</v>
      </c>
      <c r="K23" s="8">
        <f>SUM(D23:J23)</f>
        <v>21</v>
      </c>
      <c r="L23" s="8"/>
    </row>
    <row r="24" spans="1:12" x14ac:dyDescent="0.2">
      <c r="A24" s="10"/>
      <c r="B24" s="12" t="s">
        <v>84</v>
      </c>
      <c r="C24" s="12" t="s">
        <v>85</v>
      </c>
      <c r="D24" s="4">
        <v>3</v>
      </c>
      <c r="E24" s="4">
        <v>3</v>
      </c>
      <c r="F24" s="4">
        <v>3</v>
      </c>
      <c r="G24" s="4">
        <v>3</v>
      </c>
      <c r="H24" s="4">
        <v>3</v>
      </c>
      <c r="I24" s="4">
        <v>2</v>
      </c>
      <c r="J24" s="4">
        <v>3</v>
      </c>
      <c r="K24" s="8">
        <f>SUM(D24:J24)</f>
        <v>20</v>
      </c>
      <c r="L24" s="8"/>
    </row>
    <row r="25" spans="1:12" x14ac:dyDescent="0.2">
      <c r="A25" s="10"/>
      <c r="B25" s="12" t="s">
        <v>86</v>
      </c>
      <c r="C25" s="12" t="s">
        <v>124</v>
      </c>
      <c r="D25" s="4">
        <v>2</v>
      </c>
      <c r="E25" s="4">
        <v>3</v>
      </c>
      <c r="F25" s="4">
        <v>3</v>
      </c>
      <c r="G25" s="4">
        <v>4</v>
      </c>
      <c r="H25" s="4">
        <v>2</v>
      </c>
      <c r="I25" s="4">
        <v>4</v>
      </c>
      <c r="J25" s="4">
        <v>3</v>
      </c>
      <c r="K25" s="8">
        <f>SUM(D25:J25)</f>
        <v>21</v>
      </c>
      <c r="L25" s="12" t="s">
        <v>87</v>
      </c>
    </row>
    <row r="26" spans="1:12" x14ac:dyDescent="0.2">
      <c r="A26" s="10"/>
      <c r="B26" s="12" t="s">
        <v>88</v>
      </c>
      <c r="C26" s="12" t="s">
        <v>89</v>
      </c>
      <c r="D26" s="4">
        <v>3</v>
      </c>
      <c r="E26" s="4">
        <v>3</v>
      </c>
      <c r="F26" s="4">
        <v>3</v>
      </c>
      <c r="G26" s="4">
        <v>3</v>
      </c>
      <c r="H26" s="4">
        <v>3</v>
      </c>
      <c r="I26" s="4">
        <v>3</v>
      </c>
      <c r="J26" s="4">
        <v>3</v>
      </c>
      <c r="K26" s="8">
        <f>SUM(D26:J26)</f>
        <v>21</v>
      </c>
      <c r="L26" s="8"/>
    </row>
    <row r="27" spans="1:12" x14ac:dyDescent="0.2">
      <c r="A27" s="10" t="s">
        <v>90</v>
      </c>
      <c r="B27" s="12" t="s">
        <v>91</v>
      </c>
      <c r="C27" s="12" t="s">
        <v>92</v>
      </c>
      <c r="D27" s="4">
        <v>3</v>
      </c>
      <c r="E27" s="4">
        <v>3</v>
      </c>
      <c r="F27" s="4">
        <v>3</v>
      </c>
      <c r="G27" s="4">
        <v>3</v>
      </c>
      <c r="H27" s="4">
        <v>3</v>
      </c>
      <c r="I27" s="4">
        <v>3</v>
      </c>
      <c r="J27" s="4">
        <v>3</v>
      </c>
      <c r="K27" s="8">
        <f t="shared" si="0"/>
        <v>21</v>
      </c>
      <c r="L27" s="8"/>
    </row>
    <row r="28" spans="1:12" x14ac:dyDescent="0.2">
      <c r="A28" s="10"/>
      <c r="B28" s="12" t="s">
        <v>93</v>
      </c>
      <c r="C28" s="12" t="s">
        <v>94</v>
      </c>
      <c r="D28" s="4">
        <v>3</v>
      </c>
      <c r="E28" s="4">
        <v>3</v>
      </c>
      <c r="F28" s="4">
        <v>3</v>
      </c>
      <c r="G28" s="4">
        <v>3</v>
      </c>
      <c r="H28" s="4">
        <v>3</v>
      </c>
      <c r="I28" s="4">
        <v>4</v>
      </c>
      <c r="J28" s="4">
        <v>3</v>
      </c>
      <c r="K28" s="8">
        <f t="shared" si="0"/>
        <v>22</v>
      </c>
      <c r="L28" s="8"/>
    </row>
    <row r="29" spans="1:12" x14ac:dyDescent="0.2">
      <c r="A29" s="10"/>
      <c r="B29" s="12" t="s">
        <v>95</v>
      </c>
      <c r="C29" s="12" t="s">
        <v>96</v>
      </c>
      <c r="D29" s="4">
        <v>3</v>
      </c>
      <c r="E29" s="4">
        <v>3</v>
      </c>
      <c r="F29" s="4">
        <v>3</v>
      </c>
      <c r="G29" s="4">
        <v>3</v>
      </c>
      <c r="H29" s="4">
        <v>3</v>
      </c>
      <c r="I29" s="4">
        <v>3</v>
      </c>
      <c r="J29" s="4">
        <v>2</v>
      </c>
      <c r="K29" s="8">
        <f t="shared" si="0"/>
        <v>20</v>
      </c>
      <c r="L29" s="8"/>
    </row>
    <row r="30" spans="1:12" x14ac:dyDescent="0.2">
      <c r="A30" s="10"/>
      <c r="B30" s="12" t="s">
        <v>97</v>
      </c>
      <c r="C30" s="12" t="s">
        <v>98</v>
      </c>
      <c r="D30" s="4">
        <v>4</v>
      </c>
      <c r="E30" s="4">
        <v>3</v>
      </c>
      <c r="F30" s="4">
        <v>1</v>
      </c>
      <c r="G30" s="4">
        <v>3</v>
      </c>
      <c r="H30" s="4">
        <v>3</v>
      </c>
      <c r="I30" s="4">
        <v>3</v>
      </c>
      <c r="J30" s="4">
        <v>3</v>
      </c>
      <c r="K30" s="8">
        <f t="shared" si="0"/>
        <v>20</v>
      </c>
      <c r="L30" s="8"/>
    </row>
    <row r="31" spans="1:12" x14ac:dyDescent="0.2">
      <c r="A31" s="10"/>
      <c r="B31" s="12" t="s">
        <v>99</v>
      </c>
      <c r="C31" s="12" t="s">
        <v>100</v>
      </c>
      <c r="D31" s="4">
        <v>3</v>
      </c>
      <c r="E31" s="4">
        <v>2</v>
      </c>
      <c r="F31" s="4">
        <v>4</v>
      </c>
      <c r="G31" s="4">
        <v>3</v>
      </c>
      <c r="H31" s="4">
        <v>3</v>
      </c>
      <c r="I31" s="4">
        <v>3</v>
      </c>
      <c r="J31" s="4">
        <v>4</v>
      </c>
      <c r="K31" s="8">
        <f t="shared" si="0"/>
        <v>22</v>
      </c>
      <c r="L31" s="8"/>
    </row>
    <row r="32" spans="1:12" x14ac:dyDescent="0.2">
      <c r="A32" s="10" t="s">
        <v>101</v>
      </c>
      <c r="B32" s="12" t="s">
        <v>102</v>
      </c>
      <c r="C32" s="12" t="s">
        <v>103</v>
      </c>
      <c r="D32" s="4">
        <v>2</v>
      </c>
      <c r="E32" s="4">
        <v>3</v>
      </c>
      <c r="F32" s="4">
        <v>3</v>
      </c>
      <c r="G32" s="4">
        <v>3</v>
      </c>
      <c r="H32" s="4">
        <v>3</v>
      </c>
      <c r="I32" s="4">
        <v>4</v>
      </c>
      <c r="J32" s="4">
        <v>3</v>
      </c>
      <c r="K32" s="8">
        <f t="shared" si="0"/>
        <v>21</v>
      </c>
      <c r="L32" s="8"/>
    </row>
    <row r="33" spans="1:12" x14ac:dyDescent="0.2">
      <c r="A33" s="10"/>
      <c r="B33" s="12" t="s">
        <v>104</v>
      </c>
      <c r="C33" s="12" t="s">
        <v>105</v>
      </c>
      <c r="D33" s="4">
        <v>3</v>
      </c>
      <c r="E33" s="4">
        <v>3</v>
      </c>
      <c r="F33" s="4">
        <v>3</v>
      </c>
      <c r="G33" s="4">
        <v>4</v>
      </c>
      <c r="H33" s="4">
        <v>3</v>
      </c>
      <c r="I33" s="4">
        <v>3</v>
      </c>
      <c r="J33" s="4">
        <v>3</v>
      </c>
      <c r="K33" s="8">
        <f t="shared" si="0"/>
        <v>22</v>
      </c>
      <c r="L33" s="8"/>
    </row>
    <row r="34" spans="1:12" x14ac:dyDescent="0.2">
      <c r="A34" s="10"/>
      <c r="B34" s="12" t="s">
        <v>106</v>
      </c>
      <c r="C34" s="12" t="s">
        <v>107</v>
      </c>
      <c r="D34" s="4">
        <v>3</v>
      </c>
      <c r="E34" s="4">
        <v>3</v>
      </c>
      <c r="F34" s="4">
        <v>3</v>
      </c>
      <c r="G34" s="4">
        <v>3</v>
      </c>
      <c r="H34" s="4">
        <v>3</v>
      </c>
      <c r="I34" s="4">
        <v>3</v>
      </c>
      <c r="J34" s="4">
        <v>3</v>
      </c>
      <c r="K34" s="8">
        <f t="shared" si="0"/>
        <v>21</v>
      </c>
      <c r="L34" s="8"/>
    </row>
    <row r="35" spans="1:12" x14ac:dyDescent="0.2">
      <c r="A35" s="10"/>
      <c r="B35" s="12" t="s">
        <v>108</v>
      </c>
      <c r="C35" s="12" t="s">
        <v>109</v>
      </c>
      <c r="D35" s="4">
        <v>3</v>
      </c>
      <c r="E35" s="4">
        <v>4</v>
      </c>
      <c r="F35" s="4">
        <v>3</v>
      </c>
      <c r="G35" s="4">
        <v>3</v>
      </c>
      <c r="H35" s="4">
        <v>2</v>
      </c>
      <c r="I35" s="4">
        <v>4</v>
      </c>
      <c r="J35" s="4">
        <v>3</v>
      </c>
      <c r="K35" s="8">
        <f t="shared" si="0"/>
        <v>22</v>
      </c>
      <c r="L35" s="8"/>
    </row>
    <row r="36" spans="1:12" x14ac:dyDescent="0.2">
      <c r="A36" s="10"/>
      <c r="B36" s="12" t="s">
        <v>110</v>
      </c>
      <c r="C36" s="12" t="s">
        <v>111</v>
      </c>
      <c r="D36" s="4">
        <v>3</v>
      </c>
      <c r="E36" s="4">
        <v>4</v>
      </c>
      <c r="F36" s="4">
        <v>3</v>
      </c>
      <c r="G36" s="4">
        <v>3</v>
      </c>
      <c r="H36" s="4">
        <v>3</v>
      </c>
      <c r="I36" s="4">
        <v>3</v>
      </c>
      <c r="J36" s="4">
        <v>3</v>
      </c>
      <c r="K36" s="8">
        <f t="shared" si="0"/>
        <v>22</v>
      </c>
      <c r="L36" s="8"/>
    </row>
    <row r="37" spans="1:12" x14ac:dyDescent="0.2">
      <c r="A37" s="10" t="s">
        <v>35</v>
      </c>
      <c r="B37" s="12" t="s">
        <v>112</v>
      </c>
      <c r="C37" s="12" t="s">
        <v>113</v>
      </c>
      <c r="D37" s="4">
        <v>3</v>
      </c>
      <c r="E37" s="4">
        <v>4</v>
      </c>
      <c r="F37" s="4">
        <v>2</v>
      </c>
      <c r="G37" s="4">
        <v>3</v>
      </c>
      <c r="H37" s="4">
        <v>3</v>
      </c>
      <c r="I37" s="4">
        <v>3</v>
      </c>
      <c r="J37" s="4">
        <v>3</v>
      </c>
      <c r="K37" s="8">
        <f t="shared" si="0"/>
        <v>21</v>
      </c>
      <c r="L37" s="8"/>
    </row>
    <row r="38" spans="1:12" x14ac:dyDescent="0.2">
      <c r="A38" s="10"/>
      <c r="B38" s="12" t="s">
        <v>114</v>
      </c>
      <c r="C38" s="12" t="s">
        <v>115</v>
      </c>
      <c r="D38" s="4">
        <v>3</v>
      </c>
      <c r="E38" s="4">
        <v>3</v>
      </c>
      <c r="F38" s="4">
        <v>4</v>
      </c>
      <c r="G38" s="4">
        <v>3</v>
      </c>
      <c r="H38" s="4">
        <v>3</v>
      </c>
      <c r="I38" s="4">
        <v>4</v>
      </c>
      <c r="J38" s="4">
        <v>3</v>
      </c>
      <c r="K38" s="8">
        <f t="shared" si="0"/>
        <v>23</v>
      </c>
      <c r="L38" s="8"/>
    </row>
    <row r="39" spans="1:12" x14ac:dyDescent="0.2">
      <c r="A39" s="10"/>
      <c r="B39" s="12" t="s">
        <v>116</v>
      </c>
      <c r="C39" s="12" t="s">
        <v>117</v>
      </c>
      <c r="D39" s="4">
        <v>4</v>
      </c>
      <c r="E39" s="4">
        <v>3</v>
      </c>
      <c r="F39" s="4">
        <v>4</v>
      </c>
      <c r="G39" s="4">
        <v>3</v>
      </c>
      <c r="H39" s="4">
        <v>3</v>
      </c>
      <c r="I39" s="4">
        <v>3</v>
      </c>
      <c r="J39" s="4">
        <v>3</v>
      </c>
      <c r="K39" s="8">
        <f t="shared" si="0"/>
        <v>23</v>
      </c>
      <c r="L39" s="8"/>
    </row>
    <row r="40" spans="1:12" x14ac:dyDescent="0.2">
      <c r="A40" s="10"/>
      <c r="B40" s="12" t="s">
        <v>118</v>
      </c>
      <c r="C40" s="12" t="s">
        <v>119</v>
      </c>
      <c r="D40" s="4">
        <v>4</v>
      </c>
      <c r="E40" s="4">
        <v>3</v>
      </c>
      <c r="F40" s="4">
        <v>3</v>
      </c>
      <c r="G40" s="4">
        <v>3</v>
      </c>
      <c r="H40" s="4">
        <v>4</v>
      </c>
      <c r="I40" s="4">
        <v>3</v>
      </c>
      <c r="J40" s="4">
        <v>3</v>
      </c>
      <c r="K40" s="8">
        <f t="shared" si="0"/>
        <v>23</v>
      </c>
      <c r="L40" s="8"/>
    </row>
    <row r="41" spans="1:12" x14ac:dyDescent="0.2">
      <c r="A41" s="10"/>
      <c r="B41" s="12" t="s">
        <v>120</v>
      </c>
      <c r="C41" s="12" t="s">
        <v>121</v>
      </c>
      <c r="D41" s="4">
        <v>3</v>
      </c>
      <c r="E41" s="4">
        <v>3</v>
      </c>
      <c r="F41" s="4">
        <v>3</v>
      </c>
      <c r="G41" s="4">
        <v>3</v>
      </c>
      <c r="H41" s="4">
        <v>3</v>
      </c>
      <c r="I41" s="4">
        <v>2</v>
      </c>
      <c r="J41" s="4">
        <v>4</v>
      </c>
      <c r="K41" s="8">
        <f t="shared" si="0"/>
        <v>21</v>
      </c>
      <c r="L41" s="8"/>
    </row>
  </sheetData>
  <autoFilter ref="B1:L41" xr:uid="{D35295F3-D6E2-4D69-90F2-61CA1BFCF888}"/>
  <mergeCells count="8">
    <mergeCell ref="A37:A41"/>
    <mergeCell ref="A22:A26"/>
    <mergeCell ref="A7:A11"/>
    <mergeCell ref="A12:A16"/>
    <mergeCell ref="A2:A6"/>
    <mergeCell ref="A17:A21"/>
    <mergeCell ref="A27:A31"/>
    <mergeCell ref="A32:A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3D9F-7034-4918-8C1D-1648AFE15030}">
  <sheetPr filterMode="1"/>
  <dimension ref="A1:B41"/>
  <sheetViews>
    <sheetView workbookViewId="0">
      <selection activeCell="E47" sqref="E47"/>
    </sheetView>
  </sheetViews>
  <sheetFormatPr defaultRowHeight="15" x14ac:dyDescent="0.25"/>
  <cols>
    <col min="2" max="2" width="14.42578125" bestFit="1" customWidth="1"/>
  </cols>
  <sheetData>
    <row r="1" spans="1:2" ht="15.75" x14ac:dyDescent="0.25">
      <c r="A1" t="s">
        <v>123</v>
      </c>
      <c r="B1" s="13" t="s">
        <v>122</v>
      </c>
    </row>
    <row r="2" spans="1:2" hidden="1" x14ac:dyDescent="0.25">
      <c r="A2" t="str">
        <f>'Expert Ratings'!B2</f>
        <v>TEL1</v>
      </c>
      <c r="B2" s="14">
        <f>COUNTIF('Expert Ratings'!D2:J2,"&gt;=3")/COUNT('Expert Ratings'!D2:J2)</f>
        <v>0.8571428571428571</v>
      </c>
    </row>
    <row r="3" spans="1:2" hidden="1" x14ac:dyDescent="0.25">
      <c r="A3" t="str">
        <f>'Expert Ratings'!B3</f>
        <v>TEL2</v>
      </c>
      <c r="B3" s="14">
        <f>COUNTIF('Expert Ratings'!D3:J3,"&gt;=3")/COUNT('Expert Ratings'!D3:J3)</f>
        <v>0.8571428571428571</v>
      </c>
    </row>
    <row r="4" spans="1:2" hidden="1" x14ac:dyDescent="0.25">
      <c r="A4" t="str">
        <f>'Expert Ratings'!B4</f>
        <v>TEL3</v>
      </c>
      <c r="B4" s="14">
        <f>COUNTIF('Expert Ratings'!D4:J4,"&gt;=3")/COUNT('Expert Ratings'!D4:J4)</f>
        <v>0.8571428571428571</v>
      </c>
    </row>
    <row r="5" spans="1:2" hidden="1" x14ac:dyDescent="0.25">
      <c r="A5" t="str">
        <f>'Expert Ratings'!B5</f>
        <v>TEL4</v>
      </c>
      <c r="B5" s="14">
        <f>COUNTIF('Expert Ratings'!D5:J5,"&gt;=3")/COUNT('Expert Ratings'!D5:J5)</f>
        <v>0.8571428571428571</v>
      </c>
    </row>
    <row r="6" spans="1:2" hidden="1" x14ac:dyDescent="0.25">
      <c r="A6" t="str">
        <f>'Expert Ratings'!B6</f>
        <v>TEL5</v>
      </c>
      <c r="B6" s="14">
        <f>COUNTIF('Expert Ratings'!D6:J6,"&gt;=3")/COUNT('Expert Ratings'!D6:J6)</f>
        <v>0.8571428571428571</v>
      </c>
    </row>
    <row r="7" spans="1:2" hidden="1" x14ac:dyDescent="0.25">
      <c r="A7" t="str">
        <f>'Expert Ratings'!B7</f>
        <v>FL1</v>
      </c>
      <c r="B7" s="14">
        <f>COUNTIF('Expert Ratings'!D7:J7,"&gt;=3")/COUNT('Expert Ratings'!D7:J7)</f>
        <v>0.8571428571428571</v>
      </c>
    </row>
    <row r="8" spans="1:2" hidden="1" x14ac:dyDescent="0.25">
      <c r="A8" t="str">
        <f>'Expert Ratings'!B8</f>
        <v>FL2</v>
      </c>
      <c r="B8" s="14">
        <f>COUNTIF('Expert Ratings'!D8:J8,"&gt;=3")/COUNT('Expert Ratings'!D8:J8)</f>
        <v>1</v>
      </c>
    </row>
    <row r="9" spans="1:2" hidden="1" x14ac:dyDescent="0.25">
      <c r="A9" t="str">
        <f>'Expert Ratings'!B9</f>
        <v>FL3</v>
      </c>
      <c r="B9" s="14">
        <f>COUNTIF('Expert Ratings'!D9:J9,"&gt;=3")/COUNT('Expert Ratings'!D9:J9)</f>
        <v>1</v>
      </c>
    </row>
    <row r="10" spans="1:2" hidden="1" x14ac:dyDescent="0.25">
      <c r="A10" t="str">
        <f>'Expert Ratings'!B10</f>
        <v>FL4</v>
      </c>
      <c r="B10" s="14">
        <f>COUNTIF('Expert Ratings'!D10:J10,"&gt;=3")/COUNT('Expert Ratings'!D10:J10)</f>
        <v>0.8571428571428571</v>
      </c>
    </row>
    <row r="11" spans="1:2" hidden="1" x14ac:dyDescent="0.25">
      <c r="A11" t="str">
        <f>'Expert Ratings'!B11</f>
        <v>FL5</v>
      </c>
      <c r="B11" s="14">
        <f>COUNTIF('Expert Ratings'!D11:J11,"&gt;=3")/COUNT('Expert Ratings'!D11:J11)</f>
        <v>1</v>
      </c>
    </row>
    <row r="12" spans="1:2" hidden="1" x14ac:dyDescent="0.25">
      <c r="A12" t="str">
        <f>'Expert Ratings'!B12</f>
        <v>IDL1</v>
      </c>
      <c r="B12" s="14">
        <f>COUNTIF('Expert Ratings'!D12:J12,"&gt;=3")/COUNT('Expert Ratings'!D12:J12)</f>
        <v>1</v>
      </c>
    </row>
    <row r="13" spans="1:2" hidden="1" x14ac:dyDescent="0.25">
      <c r="A13" t="str">
        <f>'Expert Ratings'!B13</f>
        <v>IDL2</v>
      </c>
      <c r="B13" s="14">
        <f>COUNTIF('Expert Ratings'!D13:J13,"&gt;=3")/COUNT('Expert Ratings'!D13:J13)</f>
        <v>1</v>
      </c>
    </row>
    <row r="14" spans="1:2" hidden="1" x14ac:dyDescent="0.25">
      <c r="A14" t="str">
        <f>'Expert Ratings'!B14</f>
        <v>IDL3</v>
      </c>
      <c r="B14" s="14">
        <f>COUNTIF('Expert Ratings'!D14:J14,"&gt;=3")/COUNT('Expert Ratings'!D14:J14)</f>
        <v>1</v>
      </c>
    </row>
    <row r="15" spans="1:2" hidden="1" x14ac:dyDescent="0.25">
      <c r="A15" t="str">
        <f>'Expert Ratings'!B15</f>
        <v>IDL4</v>
      </c>
      <c r="B15" s="14">
        <f>COUNTIF('Expert Ratings'!D15:J15,"&gt;=3")/COUNT('Expert Ratings'!D15:J15)</f>
        <v>1</v>
      </c>
    </row>
    <row r="16" spans="1:2" hidden="1" x14ac:dyDescent="0.25">
      <c r="A16" t="str">
        <f>'Expert Ratings'!B16</f>
        <v>IDL5</v>
      </c>
      <c r="B16" s="14">
        <f>COUNTIF('Expert Ratings'!D16:J16,"&gt;=3")/COUNT('Expert Ratings'!D16:J16)</f>
        <v>1</v>
      </c>
    </row>
    <row r="17" spans="1:2" hidden="1" x14ac:dyDescent="0.25">
      <c r="A17" t="str">
        <f>'Expert Ratings'!B17</f>
        <v>OTSE1</v>
      </c>
      <c r="B17" s="14">
        <f>COUNTIF('Expert Ratings'!D17:J17,"&gt;=3")/COUNT('Expert Ratings'!D17:J17)</f>
        <v>1</v>
      </c>
    </row>
    <row r="18" spans="1:2" hidden="1" x14ac:dyDescent="0.25">
      <c r="A18" t="str">
        <f>'Expert Ratings'!B18</f>
        <v>OTSE2</v>
      </c>
      <c r="B18" s="14">
        <f>COUNTIF('Expert Ratings'!D18:J18,"&gt;=3")/COUNT('Expert Ratings'!D18:J18)</f>
        <v>0.8571428571428571</v>
      </c>
    </row>
    <row r="19" spans="1:2" hidden="1" x14ac:dyDescent="0.25">
      <c r="A19" t="str">
        <f>'Expert Ratings'!B19</f>
        <v>OTSE3</v>
      </c>
      <c r="B19" s="14">
        <f>COUNTIF('Expert Ratings'!D19:J19,"&gt;=3")/COUNT('Expert Ratings'!D19:J19)</f>
        <v>1</v>
      </c>
    </row>
    <row r="20" spans="1:2" hidden="1" x14ac:dyDescent="0.25">
      <c r="A20" t="str">
        <f>'Expert Ratings'!B20</f>
        <v>OTSE4</v>
      </c>
      <c r="B20" s="14">
        <f>COUNTIF('Expert Ratings'!D20:J20,"&gt;=3")/COUNT('Expert Ratings'!D20:J20)</f>
        <v>0.8571428571428571</v>
      </c>
    </row>
    <row r="21" spans="1:2" hidden="1" x14ac:dyDescent="0.25">
      <c r="A21" t="str">
        <f>'Expert Ratings'!B21</f>
        <v>OTSE5</v>
      </c>
      <c r="B21" s="14">
        <f>COUNTIF('Expert Ratings'!D21:J21,"&gt;=3")/COUNT('Expert Ratings'!D21:J21)</f>
        <v>1</v>
      </c>
    </row>
    <row r="22" spans="1:2" hidden="1" x14ac:dyDescent="0.25">
      <c r="A22" t="str">
        <f>'Expert Ratings'!B22</f>
        <v>EL1</v>
      </c>
      <c r="B22" s="14">
        <f>COUNTIF('Expert Ratings'!D22:J22,"&gt;=3")/COUNT('Expert Ratings'!D22:J22)</f>
        <v>1</v>
      </c>
    </row>
    <row r="23" spans="1:2" hidden="1" x14ac:dyDescent="0.25">
      <c r="A23" t="str">
        <f>'Expert Ratings'!B23</f>
        <v>EL2</v>
      </c>
      <c r="B23" s="14">
        <f>COUNTIF('Expert Ratings'!D23:J23,"&gt;=3")/COUNT('Expert Ratings'!D23:J23)</f>
        <v>0.8571428571428571</v>
      </c>
    </row>
    <row r="24" spans="1:2" hidden="1" x14ac:dyDescent="0.25">
      <c r="A24" t="str">
        <f>'Expert Ratings'!B24</f>
        <v>EL3</v>
      </c>
      <c r="B24" s="14">
        <f>COUNTIF('Expert Ratings'!D24:J24,"&gt;=3")/COUNT('Expert Ratings'!D24:J24)</f>
        <v>0.8571428571428571</v>
      </c>
    </row>
    <row r="25" spans="1:2" x14ac:dyDescent="0.25">
      <c r="A25" t="str">
        <f>'Expert Ratings'!B25</f>
        <v>EL4</v>
      </c>
      <c r="B25" s="14">
        <f>COUNTIF('Expert Ratings'!D25:J25,"&gt;=3")/COUNT('Expert Ratings'!D25:J25)</f>
        <v>0.7142857142857143</v>
      </c>
    </row>
    <row r="26" spans="1:2" hidden="1" x14ac:dyDescent="0.25">
      <c r="A26" t="str">
        <f>'Expert Ratings'!B26</f>
        <v>EL5</v>
      </c>
      <c r="B26" s="14">
        <f>COUNTIF('Expert Ratings'!D26:J26,"&gt;=3")/COUNT('Expert Ratings'!D26:J26)</f>
        <v>1</v>
      </c>
    </row>
    <row r="27" spans="1:2" hidden="1" x14ac:dyDescent="0.25">
      <c r="A27" t="str">
        <f>'Expert Ratings'!B27</f>
        <v>LA1</v>
      </c>
      <c r="B27" s="14">
        <f>COUNTIF('Expert Ratings'!D27:J27,"&gt;=3")/COUNT('Expert Ratings'!D27:J27)</f>
        <v>1</v>
      </c>
    </row>
    <row r="28" spans="1:2" hidden="1" x14ac:dyDescent="0.25">
      <c r="A28" t="str">
        <f>'Expert Ratings'!B28</f>
        <v>LA2</v>
      </c>
      <c r="B28" s="14">
        <f>COUNTIF('Expert Ratings'!D28:J28,"&gt;=3")/COUNT('Expert Ratings'!D28:J28)</f>
        <v>1</v>
      </c>
    </row>
    <row r="29" spans="1:2" hidden="1" x14ac:dyDescent="0.25">
      <c r="A29" t="str">
        <f>'Expert Ratings'!B29</f>
        <v>LA3</v>
      </c>
      <c r="B29" s="14">
        <f>COUNTIF('Expert Ratings'!D29:J29,"&gt;=3")/COUNT('Expert Ratings'!D29:J29)</f>
        <v>0.8571428571428571</v>
      </c>
    </row>
    <row r="30" spans="1:2" hidden="1" x14ac:dyDescent="0.25">
      <c r="A30" t="str">
        <f>'Expert Ratings'!B30</f>
        <v>LA4</v>
      </c>
      <c r="B30" s="14">
        <f>COUNTIF('Expert Ratings'!D30:J30,"&gt;=3")/COUNT('Expert Ratings'!D30:J30)</f>
        <v>0.8571428571428571</v>
      </c>
    </row>
    <row r="31" spans="1:2" hidden="1" x14ac:dyDescent="0.25">
      <c r="A31" t="str">
        <f>'Expert Ratings'!B31</f>
        <v>LA5</v>
      </c>
      <c r="B31" s="14">
        <f>COUNTIF('Expert Ratings'!D31:J31,"&gt;=3")/COUNT('Expert Ratings'!D31:J31)</f>
        <v>0.8571428571428571</v>
      </c>
    </row>
    <row r="32" spans="1:2" hidden="1" x14ac:dyDescent="0.25">
      <c r="A32" t="str">
        <f>'Expert Ratings'!B32</f>
        <v>OSE1</v>
      </c>
      <c r="B32" s="14">
        <f>COUNTIF('Expert Ratings'!D32:J32,"&gt;=3")/COUNT('Expert Ratings'!D32:J32)</f>
        <v>0.8571428571428571</v>
      </c>
    </row>
    <row r="33" spans="1:2" hidden="1" x14ac:dyDescent="0.25">
      <c r="A33" t="str">
        <f>'Expert Ratings'!B33</f>
        <v>OSE2</v>
      </c>
      <c r="B33" s="14">
        <f>COUNTIF('Expert Ratings'!D33:J33,"&gt;=3")/COUNT('Expert Ratings'!D33:J33)</f>
        <v>1</v>
      </c>
    </row>
    <row r="34" spans="1:2" hidden="1" x14ac:dyDescent="0.25">
      <c r="A34" t="str">
        <f>'Expert Ratings'!B34</f>
        <v>OSE3</v>
      </c>
      <c r="B34" s="14">
        <f>COUNTIF('Expert Ratings'!D34:J34,"&gt;=3")/COUNT('Expert Ratings'!D34:J34)</f>
        <v>1</v>
      </c>
    </row>
    <row r="35" spans="1:2" hidden="1" x14ac:dyDescent="0.25">
      <c r="A35" t="str">
        <f>'Expert Ratings'!B35</f>
        <v>OSE4</v>
      </c>
      <c r="B35" s="14">
        <f>COUNTIF('Expert Ratings'!D35:J35,"&gt;=3")/COUNT('Expert Ratings'!D35:J35)</f>
        <v>0.8571428571428571</v>
      </c>
    </row>
    <row r="36" spans="1:2" hidden="1" x14ac:dyDescent="0.25">
      <c r="A36" t="str">
        <f>'Expert Ratings'!B36</f>
        <v>OSE5</v>
      </c>
      <c r="B36" s="14">
        <f>COUNTIF('Expert Ratings'!D36:J36,"&gt;=3")/COUNT('Expert Ratings'!D36:J36)</f>
        <v>1</v>
      </c>
    </row>
    <row r="37" spans="1:2" hidden="1" x14ac:dyDescent="0.25">
      <c r="A37" t="str">
        <f>'Expert Ratings'!B37</f>
        <v>SPE1</v>
      </c>
      <c r="B37" s="14">
        <f>COUNTIF('Expert Ratings'!D37:J37,"&gt;=3")/COUNT('Expert Ratings'!D37:J37)</f>
        <v>0.8571428571428571</v>
      </c>
    </row>
    <row r="38" spans="1:2" hidden="1" x14ac:dyDescent="0.25">
      <c r="A38" t="str">
        <f>'Expert Ratings'!B38</f>
        <v>SPE2</v>
      </c>
      <c r="B38" s="14">
        <f>COUNTIF('Expert Ratings'!D38:J38,"&gt;=3")/COUNT('Expert Ratings'!D38:J38)</f>
        <v>1</v>
      </c>
    </row>
    <row r="39" spans="1:2" hidden="1" x14ac:dyDescent="0.25">
      <c r="A39" t="str">
        <f>'Expert Ratings'!B39</f>
        <v>SPE3</v>
      </c>
      <c r="B39" s="14">
        <f>COUNTIF('Expert Ratings'!D39:J39,"&gt;=3")/COUNT('Expert Ratings'!D39:J39)</f>
        <v>1</v>
      </c>
    </row>
    <row r="40" spans="1:2" hidden="1" x14ac:dyDescent="0.25">
      <c r="A40" t="str">
        <f>'Expert Ratings'!B40</f>
        <v>SPE4</v>
      </c>
      <c r="B40" s="14">
        <f>COUNTIF('Expert Ratings'!D40:J40,"&gt;=3")/COUNT('Expert Ratings'!D40:J40)</f>
        <v>1</v>
      </c>
    </row>
    <row r="41" spans="1:2" hidden="1" x14ac:dyDescent="0.25">
      <c r="A41" t="str">
        <f>'Expert Ratings'!B41</f>
        <v>SPE5</v>
      </c>
      <c r="B41" s="14">
        <f>COUNTIF('Expert Ratings'!D41:J41,"&gt;=3")/COUNT('Expert Ratings'!D41:J41)</f>
        <v>0.8571428571428571</v>
      </c>
    </row>
  </sheetData>
  <autoFilter ref="A1:B41" xr:uid="{D9FF3D9F-7034-4918-8C1D-1648AFE15030}">
    <filterColumn colId="1">
      <filters>
        <filter val="0.71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Expert Panel Profile</vt:lpstr>
      <vt:lpstr>Expert Ratings</vt:lpstr>
      <vt:lpstr>Relevance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SAMDISH D SHARMA</dc:creator>
  <dc:description/>
  <cp:revision>0</cp:revision>
  <dcterms:created xsi:type="dcterms:W3CDTF">2026-09-20T22:38:16Z</dcterms:created>
  <dcterms:modified xsi:type="dcterms:W3CDTF">2026-10-06T14:08:32Z</dcterms:modified>
  <dc:language>en-US</dc:language>
</cp:coreProperties>
</file>